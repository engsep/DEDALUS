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ente\OneDrive - Università Politecnica delle Marche\Desktop\"/>
    </mc:Choice>
  </mc:AlternateContent>
  <xr:revisionPtr revIDLastSave="0" documentId="13_ncr:1_{71D3C55D-5677-4962-A8CB-39772DC1FDD3}" xr6:coauthVersionLast="47" xr6:coauthVersionMax="47" xr10:uidLastSave="{00000000-0000-0000-0000-000000000000}"/>
  <bookViews>
    <workbookView xWindow="-108" yWindow="-108" windowWidth="23256" windowHeight="12456" xr2:uid="{2272F615-CD26-4C45-B68A-772D20B9E464}"/>
  </bookViews>
  <sheets>
    <sheet name="Italian_pilot " sheetId="1" r:id="rId1"/>
    <sheet name="Danish_pilo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12" i="2" l="1"/>
  <c r="AE12" i="2"/>
  <c r="AD12" i="2"/>
  <c r="AC12" i="2"/>
  <c r="AB12" i="2"/>
  <c r="AA12" i="2"/>
  <c r="Z12" i="2"/>
  <c r="Y12" i="2"/>
  <c r="X12" i="2"/>
  <c r="W12" i="2"/>
  <c r="V12" i="2"/>
  <c r="U12" i="2"/>
  <c r="G12" i="2"/>
  <c r="H12" i="2" s="1"/>
  <c r="I12" i="2" s="1"/>
  <c r="J12" i="2" s="1"/>
  <c r="K12" i="2" s="1"/>
  <c r="L12" i="2" s="1"/>
  <c r="M12" i="2" s="1"/>
  <c r="N12" i="2" s="1"/>
  <c r="O12" i="2" s="1"/>
  <c r="P12" i="2" s="1"/>
  <c r="Q12" i="2" s="1"/>
  <c r="R12" i="2" s="1"/>
  <c r="S12" i="2" s="1"/>
  <c r="T12" i="2" s="1"/>
</calcChain>
</file>

<file path=xl/sharedStrings.xml><?xml version="1.0" encoding="utf-8"?>
<sst xmlns="http://schemas.openxmlformats.org/spreadsheetml/2006/main" count="112" uniqueCount="53">
  <si>
    <t>CASA MADDALENA</t>
  </si>
  <si>
    <t>CASA TITO GARZONI</t>
  </si>
  <si>
    <t>5 APARTMENTS</t>
  </si>
  <si>
    <t>Not Available</t>
  </si>
  <si>
    <t>11 APARTMENTS</t>
  </si>
  <si>
    <t>STARTING ACQUISITION</t>
  </si>
  <si>
    <t xml:space="preserve"> FROM 01/07/2024 </t>
  </si>
  <si>
    <t xml:space="preserve"> TO  31-10-2024</t>
  </si>
  <si>
    <t>Available</t>
  </si>
  <si>
    <t>FROM 01/07/2024  00:00:00</t>
  </si>
  <si>
    <t>TO 31-10-2024</t>
  </si>
  <si>
    <t>DATA AVAILABLE</t>
  </si>
  <si>
    <t>ROOM ID</t>
  </si>
  <si>
    <t>SENSOR</t>
  </si>
  <si>
    <t>VALUE</t>
  </si>
  <si>
    <t>E144</t>
  </si>
  <si>
    <t>E145</t>
  </si>
  <si>
    <t>E146</t>
  </si>
  <si>
    <t>E147</t>
  </si>
  <si>
    <t>E148</t>
  </si>
  <si>
    <t>E149</t>
  </si>
  <si>
    <t>E150</t>
  </si>
  <si>
    <t>E151</t>
  </si>
  <si>
    <t>E152</t>
  </si>
  <si>
    <t>E153</t>
  </si>
  <si>
    <t>E154</t>
  </si>
  <si>
    <t>E155</t>
  </si>
  <si>
    <t>E156</t>
  </si>
  <si>
    <t>E157</t>
  </si>
  <si>
    <t>E158</t>
  </si>
  <si>
    <t>E159</t>
  </si>
  <si>
    <t>T</t>
  </si>
  <si>
    <t>°C</t>
  </si>
  <si>
    <t>RH</t>
  </si>
  <si>
    <t>%</t>
  </si>
  <si>
    <t>PM4</t>
  </si>
  <si>
    <t>µg/m3</t>
  </si>
  <si>
    <t>LIGHTING</t>
  </si>
  <si>
    <t>lux</t>
  </si>
  <si>
    <t>PM10</t>
  </si>
  <si>
    <t>PM2,5</t>
  </si>
  <si>
    <t xml:space="preserve">PM1 </t>
  </si>
  <si>
    <t>PM0,5</t>
  </si>
  <si>
    <t>CO2</t>
  </si>
  <si>
    <t>ppm</t>
  </si>
  <si>
    <t>T OUTDOOR</t>
  </si>
  <si>
    <t>TSV</t>
  </si>
  <si>
    <t>ENERGY CONS</t>
  </si>
  <si>
    <t>kWh</t>
  </si>
  <si>
    <t xml:space="preserve">ENERGY PRED </t>
  </si>
  <si>
    <t xml:space="preserve">BUILDING THYRASVEJ </t>
  </si>
  <si>
    <t>27 APARTEMENTS</t>
  </si>
  <si>
    <t>I dati energetici vengono forniti da NTUA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</si>
</sst>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b/>
      <sz val="22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4" fillId="2" borderId="7" xfId="0" applyFont="1" applyFill="1" applyBorder="1"/>
    <xf numFmtId="0" fontId="4" fillId="2" borderId="8" xfId="0" applyFont="1" applyFill="1" applyBorder="1"/>
    <xf numFmtId="0" fontId="0" fillId="3" borderId="0" xfId="0" applyFill="1"/>
    <xf numFmtId="0" fontId="1" fillId="0" borderId="0" xfId="0" applyFont="1"/>
    <xf numFmtId="0" fontId="0" fillId="4" borderId="9" xfId="0" applyFill="1" applyBorder="1" applyAlignment="1">
      <alignment horizontal="center"/>
    </xf>
    <xf numFmtId="22" fontId="0" fillId="4" borderId="10" xfId="0" applyNumberFormat="1" applyFill="1" applyBorder="1"/>
    <xf numFmtId="0" fontId="0" fillId="4" borderId="10" xfId="0" applyFill="1" applyBorder="1"/>
    <xf numFmtId="0" fontId="0" fillId="4" borderId="11" xfId="0" applyFill="1" applyBorder="1"/>
    <xf numFmtId="0" fontId="0" fillId="5" borderId="0" xfId="0" applyFill="1"/>
    <xf numFmtId="0" fontId="3" fillId="6" borderId="9" xfId="0" applyFont="1" applyFill="1" applyBorder="1" applyAlignment="1">
      <alignment horizontal="center"/>
    </xf>
    <xf numFmtId="0" fontId="3" fillId="6" borderId="11" xfId="0" applyFont="1" applyFill="1" applyBorder="1" applyAlignment="1">
      <alignment horizontal="center"/>
    </xf>
    <xf numFmtId="0" fontId="3" fillId="7" borderId="9" xfId="0" applyFont="1" applyFill="1" applyBorder="1" applyAlignment="1">
      <alignment horizontal="center"/>
    </xf>
    <xf numFmtId="0" fontId="3" fillId="7" borderId="10" xfId="0" applyFont="1" applyFill="1" applyBorder="1" applyAlignment="1">
      <alignment horizontal="center"/>
    </xf>
    <xf numFmtId="0" fontId="3" fillId="7" borderId="11" xfId="0" applyFont="1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5" fillId="2" borderId="13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3" borderId="15" xfId="0" applyFill="1" applyBorder="1"/>
    <xf numFmtId="0" fontId="0" fillId="5" borderId="15" xfId="0" applyFill="1" applyBorder="1"/>
    <xf numFmtId="0" fontId="6" fillId="4" borderId="4" xfId="0" applyFont="1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2" fillId="4" borderId="1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0" fillId="9" borderId="13" xfId="0" applyFill="1" applyBorder="1"/>
    <xf numFmtId="0" fontId="5" fillId="0" borderId="0" xfId="0" applyFont="1" applyAlignment="1">
      <alignment horizontal="center"/>
    </xf>
    <xf numFmtId="0" fontId="0" fillId="9" borderId="12" xfId="0" applyFill="1" applyBorder="1" applyAlignment="1">
      <alignment horizontal="center"/>
    </xf>
    <xf numFmtId="0" fontId="0" fillId="3" borderId="13" xfId="0" applyFill="1" applyBorder="1"/>
    <xf numFmtId="0" fontId="3" fillId="2" borderId="0" xfId="0" applyFont="1" applyFill="1" applyBorder="1"/>
    <xf numFmtId="0" fontId="0" fillId="2" borderId="0" xfId="0" applyFill="1" applyBorder="1"/>
    <xf numFmtId="0" fontId="0" fillId="9" borderId="13" xfId="0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/>
    </xf>
    <xf numFmtId="22" fontId="1" fillId="4" borderId="10" xfId="0" applyNumberFormat="1" applyFont="1" applyFill="1" applyBorder="1"/>
    <xf numFmtId="0" fontId="1" fillId="4" borderId="10" xfId="0" applyFont="1" applyFill="1" applyBorder="1"/>
    <xf numFmtId="0" fontId="4" fillId="4" borderId="0" xfId="0" applyFont="1" applyFill="1"/>
    <xf numFmtId="0" fontId="1" fillId="4" borderId="11" xfId="0" applyFont="1" applyFill="1" applyBorder="1"/>
    <xf numFmtId="0" fontId="3" fillId="10" borderId="15" xfId="0" applyFont="1" applyFill="1" applyBorder="1" applyAlignment="1">
      <alignment horizontal="center"/>
    </xf>
    <xf numFmtId="0" fontId="3" fillId="7" borderId="15" xfId="0" applyFont="1" applyFill="1" applyBorder="1" applyAlignment="1">
      <alignment horizontal="center"/>
    </xf>
    <xf numFmtId="0" fontId="0" fillId="8" borderId="15" xfId="0" applyFill="1" applyBorder="1" applyAlignment="1">
      <alignment horizontal="center"/>
    </xf>
    <xf numFmtId="0" fontId="5" fillId="2" borderId="15" xfId="0" applyFont="1" applyFill="1" applyBorder="1" applyAlignment="1">
      <alignment horizontal="center"/>
    </xf>
    <xf numFmtId="0" fontId="6" fillId="4" borderId="15" xfId="0" applyFont="1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2" fillId="4" borderId="15" xfId="0" applyFont="1" applyFill="1" applyBorder="1" applyAlignment="1">
      <alignment horizontal="center"/>
    </xf>
    <xf numFmtId="0" fontId="0" fillId="9" borderId="15" xfId="0" applyFill="1" applyBorder="1"/>
    <xf numFmtId="0" fontId="0" fillId="9" borderId="15" xfId="0" applyFill="1" applyBorder="1" applyAlignment="1">
      <alignment horizontal="center"/>
    </xf>
    <xf numFmtId="0" fontId="5" fillId="2" borderId="9" xfId="0" applyFont="1" applyFill="1" applyBorder="1"/>
    <xf numFmtId="0" fontId="5" fillId="2" borderId="10" xfId="0" applyFont="1" applyFill="1" applyBorder="1"/>
    <xf numFmtId="0" fontId="0" fillId="2" borderId="10" xfId="0" applyFill="1" applyBorder="1"/>
    <xf numFmtId="0" fontId="0" fillId="2" borderId="11" xfId="0" applyFill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E2CEC-9C5E-422B-B51F-80BDC241C8B8}">
  <dimension ref="C6:AA30"/>
  <sheetViews>
    <sheetView tabSelected="1" topLeftCell="A7" zoomScale="70" zoomScaleNormal="70" workbookViewId="0">
      <selection activeCell="C30" sqref="C30"/>
    </sheetView>
  </sheetViews>
  <sheetFormatPr defaultRowHeight="14.4" x14ac:dyDescent="0.3"/>
  <cols>
    <col min="2" max="2" width="6.5546875" customWidth="1"/>
    <col min="3" max="3" width="24.77734375" customWidth="1"/>
    <col min="12" max="12" width="17.77734375" customWidth="1"/>
    <col min="13" max="13" width="27.44140625" customWidth="1"/>
    <col min="14" max="14" width="18.5546875" customWidth="1"/>
  </cols>
  <sheetData>
    <row r="6" spans="3:25" x14ac:dyDescent="0.3">
      <c r="C6" s="1"/>
      <c r="D6" s="2"/>
    </row>
    <row r="7" spans="3:25" x14ac:dyDescent="0.3">
      <c r="C7" s="1"/>
      <c r="D7" s="2"/>
    </row>
    <row r="8" spans="3:25" x14ac:dyDescent="0.3">
      <c r="C8" s="3"/>
      <c r="D8" s="4"/>
      <c r="E8" s="4"/>
      <c r="F8" s="4"/>
      <c r="G8" s="4"/>
      <c r="H8" s="4"/>
      <c r="I8" s="5"/>
      <c r="M8" s="3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5"/>
    </row>
    <row r="9" spans="3:25" ht="28.8" x14ac:dyDescent="0.55000000000000004">
      <c r="C9" s="6"/>
      <c r="D9" s="38" t="s">
        <v>0</v>
      </c>
      <c r="E9" s="39"/>
      <c r="F9" s="39"/>
      <c r="G9" s="39"/>
      <c r="H9" s="39"/>
      <c r="I9" s="7"/>
      <c r="M9" s="6"/>
      <c r="N9" s="39"/>
      <c r="O9" s="39"/>
      <c r="P9" s="39"/>
      <c r="Q9" s="38" t="s">
        <v>1</v>
      </c>
      <c r="R9" s="39"/>
      <c r="S9" s="39"/>
      <c r="T9" s="39"/>
      <c r="U9" s="39"/>
      <c r="V9" s="39"/>
      <c r="W9" s="39"/>
      <c r="X9" s="39"/>
      <c r="Y9" s="7"/>
    </row>
    <row r="10" spans="3:25" x14ac:dyDescent="0.3">
      <c r="C10" s="8"/>
      <c r="D10" s="9"/>
      <c r="E10" s="9"/>
      <c r="F10" s="9"/>
      <c r="G10" s="10" t="s">
        <v>2</v>
      </c>
      <c r="H10" s="9"/>
      <c r="I10" s="11"/>
      <c r="K10" s="12"/>
      <c r="L10" s="13" t="s">
        <v>3</v>
      </c>
      <c r="M10" s="8"/>
      <c r="N10" s="9"/>
      <c r="O10" s="9"/>
      <c r="P10" s="9"/>
      <c r="Q10" s="9"/>
      <c r="R10" s="9"/>
      <c r="S10" s="9"/>
      <c r="T10" s="9"/>
      <c r="U10" s="9"/>
      <c r="V10" s="9"/>
      <c r="W10" s="9"/>
      <c r="X10" s="10" t="s">
        <v>4</v>
      </c>
      <c r="Y10" s="11"/>
    </row>
    <row r="11" spans="3:25" x14ac:dyDescent="0.3">
      <c r="C11" s="14" t="s">
        <v>5</v>
      </c>
      <c r="D11" s="15" t="s">
        <v>6</v>
      </c>
      <c r="E11" s="16" t="s">
        <v>7</v>
      </c>
      <c r="F11" s="16"/>
      <c r="G11" s="16"/>
      <c r="H11" s="16"/>
      <c r="I11" s="17"/>
      <c r="K11" s="18"/>
      <c r="L11" s="13" t="s">
        <v>8</v>
      </c>
      <c r="M11" s="14" t="s">
        <v>5</v>
      </c>
      <c r="N11" s="15" t="s">
        <v>9</v>
      </c>
      <c r="O11" s="16" t="s">
        <v>10</v>
      </c>
      <c r="P11" s="16"/>
      <c r="Q11" s="16"/>
      <c r="R11" s="16"/>
      <c r="S11" s="16"/>
      <c r="T11" s="16"/>
      <c r="U11" s="16"/>
      <c r="V11" s="16"/>
      <c r="W11" s="16"/>
      <c r="X11" s="16"/>
      <c r="Y11" s="17"/>
    </row>
    <row r="12" spans="3:25" ht="28.8" x14ac:dyDescent="0.55000000000000004">
      <c r="C12" s="19" t="s">
        <v>11</v>
      </c>
      <c r="D12" s="20"/>
      <c r="E12" s="21" t="s">
        <v>12</v>
      </c>
      <c r="F12" s="22"/>
      <c r="G12" s="22"/>
      <c r="H12" s="22"/>
      <c r="I12" s="23"/>
      <c r="M12" s="19" t="s">
        <v>11</v>
      </c>
      <c r="N12" s="20"/>
      <c r="O12" s="21" t="s">
        <v>12</v>
      </c>
      <c r="P12" s="22"/>
      <c r="Q12" s="22"/>
      <c r="R12" s="22"/>
      <c r="S12" s="22"/>
      <c r="T12" s="22"/>
      <c r="U12" s="22"/>
      <c r="V12" s="22"/>
      <c r="W12" s="22"/>
      <c r="X12" s="22"/>
      <c r="Y12" s="23"/>
    </row>
    <row r="13" spans="3:25" ht="23.4" x14ac:dyDescent="0.45">
      <c r="C13" s="24" t="s">
        <v>13</v>
      </c>
      <c r="D13" s="24" t="s">
        <v>14</v>
      </c>
      <c r="E13" s="25" t="s">
        <v>15</v>
      </c>
      <c r="F13" s="25" t="s">
        <v>16</v>
      </c>
      <c r="G13" s="25" t="s">
        <v>17</v>
      </c>
      <c r="H13" s="25" t="s">
        <v>18</v>
      </c>
      <c r="I13" s="25" t="s">
        <v>19</v>
      </c>
      <c r="M13" s="24" t="s">
        <v>13</v>
      </c>
      <c r="N13" s="24" t="s">
        <v>14</v>
      </c>
      <c r="O13" s="25" t="s">
        <v>20</v>
      </c>
      <c r="P13" s="25" t="s">
        <v>21</v>
      </c>
      <c r="Q13" s="25" t="s">
        <v>22</v>
      </c>
      <c r="R13" s="25" t="s">
        <v>23</v>
      </c>
      <c r="S13" s="25" t="s">
        <v>24</v>
      </c>
      <c r="T13" s="25" t="s">
        <v>25</v>
      </c>
      <c r="U13" s="25" t="s">
        <v>26</v>
      </c>
      <c r="V13" s="25" t="s">
        <v>27</v>
      </c>
      <c r="W13" s="25" t="s">
        <v>28</v>
      </c>
      <c r="X13" s="25" t="s">
        <v>29</v>
      </c>
      <c r="Y13" s="25" t="s">
        <v>30</v>
      </c>
    </row>
    <row r="14" spans="3:25" ht="18" x14ac:dyDescent="0.35">
      <c r="C14" s="26" t="s">
        <v>31</v>
      </c>
      <c r="D14" s="27" t="s">
        <v>32</v>
      </c>
      <c r="E14" s="28"/>
      <c r="F14" s="29"/>
      <c r="G14" s="29"/>
      <c r="H14" s="29"/>
      <c r="I14" s="29"/>
      <c r="M14" s="26" t="s">
        <v>31</v>
      </c>
      <c r="N14" s="27" t="s">
        <v>32</v>
      </c>
      <c r="O14" s="29"/>
      <c r="P14" s="29"/>
      <c r="Q14" s="29"/>
      <c r="R14" s="29"/>
      <c r="S14" s="29"/>
      <c r="T14" s="29"/>
      <c r="U14" s="28"/>
      <c r="V14" s="29"/>
      <c r="W14" s="29"/>
      <c r="X14" s="28"/>
      <c r="Y14" s="28"/>
    </row>
    <row r="15" spans="3:25" ht="18" x14ac:dyDescent="0.35">
      <c r="C15" s="30" t="s">
        <v>33</v>
      </c>
      <c r="D15" s="31" t="s">
        <v>34</v>
      </c>
      <c r="E15" s="28"/>
      <c r="F15" s="29"/>
      <c r="G15" s="29"/>
      <c r="H15" s="29"/>
      <c r="I15" s="29"/>
      <c r="M15" s="30" t="s">
        <v>33</v>
      </c>
      <c r="N15" s="31" t="s">
        <v>34</v>
      </c>
      <c r="O15" s="29"/>
      <c r="P15" s="29"/>
      <c r="Q15" s="29"/>
      <c r="R15" s="29"/>
      <c r="S15" s="29"/>
      <c r="T15" s="29"/>
      <c r="U15" s="28"/>
      <c r="V15" s="29"/>
      <c r="W15" s="29"/>
      <c r="X15" s="28"/>
      <c r="Y15" s="28"/>
    </row>
    <row r="16" spans="3:25" ht="18" x14ac:dyDescent="0.35">
      <c r="C16" s="30" t="s">
        <v>35</v>
      </c>
      <c r="D16" s="32" t="s">
        <v>36</v>
      </c>
      <c r="E16" s="28"/>
      <c r="F16" s="29"/>
      <c r="G16" s="29"/>
      <c r="H16" s="29"/>
      <c r="I16" s="29"/>
      <c r="M16" s="30" t="s">
        <v>35</v>
      </c>
      <c r="N16" s="32" t="s">
        <v>36</v>
      </c>
      <c r="O16" s="29"/>
      <c r="P16" s="29"/>
      <c r="Q16" s="29"/>
      <c r="R16" s="29"/>
      <c r="S16" s="29"/>
      <c r="T16" s="29"/>
      <c r="U16" s="28"/>
      <c r="V16" s="29"/>
      <c r="W16" s="29"/>
      <c r="X16" s="28"/>
      <c r="Y16" s="28"/>
    </row>
    <row r="17" spans="3:27" ht="18" x14ac:dyDescent="0.35">
      <c r="C17" s="30" t="s">
        <v>37</v>
      </c>
      <c r="D17" s="32" t="s">
        <v>38</v>
      </c>
      <c r="E17" s="28"/>
      <c r="F17" s="29"/>
      <c r="G17" s="29"/>
      <c r="H17" s="29"/>
      <c r="I17" s="29"/>
      <c r="M17" s="30" t="s">
        <v>37</v>
      </c>
      <c r="N17" s="32" t="s">
        <v>38</v>
      </c>
      <c r="O17" s="29"/>
      <c r="P17" s="29"/>
      <c r="Q17" s="29"/>
      <c r="R17" s="29"/>
      <c r="S17" s="29"/>
      <c r="T17" s="29"/>
      <c r="U17" s="28"/>
      <c r="V17" s="29"/>
      <c r="W17" s="29"/>
      <c r="X17" s="28"/>
      <c r="Y17" s="28"/>
    </row>
    <row r="18" spans="3:27" ht="18" x14ac:dyDescent="0.35">
      <c r="C18" s="30" t="s">
        <v>39</v>
      </c>
      <c r="D18" s="32" t="s">
        <v>36</v>
      </c>
      <c r="E18" s="28"/>
      <c r="F18" s="29"/>
      <c r="G18" s="29"/>
      <c r="H18" s="29"/>
      <c r="I18" s="29"/>
      <c r="M18" s="30" t="s">
        <v>39</v>
      </c>
      <c r="N18" s="32" t="s">
        <v>36</v>
      </c>
      <c r="O18" s="29"/>
      <c r="P18" s="29"/>
      <c r="Q18" s="29"/>
      <c r="R18" s="29"/>
      <c r="S18" s="29"/>
      <c r="T18" s="29"/>
      <c r="U18" s="28"/>
      <c r="V18" s="29"/>
      <c r="W18" s="29"/>
      <c r="X18" s="28"/>
      <c r="Y18" s="28"/>
    </row>
    <row r="19" spans="3:27" ht="18" x14ac:dyDescent="0.35">
      <c r="C19" s="30" t="s">
        <v>40</v>
      </c>
      <c r="D19" s="32" t="s">
        <v>36</v>
      </c>
      <c r="E19" s="28"/>
      <c r="F19" s="29"/>
      <c r="G19" s="29"/>
      <c r="H19" s="29"/>
      <c r="I19" s="29"/>
      <c r="M19" s="30" t="s">
        <v>40</v>
      </c>
      <c r="N19" s="32" t="s">
        <v>36</v>
      </c>
      <c r="O19" s="29"/>
      <c r="P19" s="29"/>
      <c r="Q19" s="29"/>
      <c r="R19" s="29"/>
      <c r="S19" s="29"/>
      <c r="T19" s="29"/>
      <c r="U19" s="28"/>
      <c r="V19" s="29"/>
      <c r="W19" s="29"/>
      <c r="X19" s="28"/>
      <c r="Y19" s="28"/>
    </row>
    <row r="20" spans="3:27" ht="18" x14ac:dyDescent="0.35">
      <c r="C20" s="30" t="s">
        <v>41</v>
      </c>
      <c r="D20" s="32" t="s">
        <v>36</v>
      </c>
      <c r="E20" s="28"/>
      <c r="F20" s="29"/>
      <c r="G20" s="29"/>
      <c r="H20" s="29"/>
      <c r="I20" s="29"/>
      <c r="M20" s="30" t="s">
        <v>41</v>
      </c>
      <c r="N20" s="32" t="s">
        <v>36</v>
      </c>
      <c r="O20" s="29"/>
      <c r="P20" s="29"/>
      <c r="Q20" s="29"/>
      <c r="R20" s="29"/>
      <c r="S20" s="29"/>
      <c r="T20" s="29"/>
      <c r="U20" s="28"/>
      <c r="V20" s="29"/>
      <c r="W20" s="29"/>
      <c r="X20" s="28"/>
      <c r="Y20" s="28"/>
    </row>
    <row r="21" spans="3:27" ht="18" x14ac:dyDescent="0.35">
      <c r="C21" s="30" t="s">
        <v>42</v>
      </c>
      <c r="D21" s="32" t="s">
        <v>36</v>
      </c>
      <c r="E21" s="28"/>
      <c r="F21" s="29"/>
      <c r="G21" s="29"/>
      <c r="H21" s="29"/>
      <c r="I21" s="29"/>
      <c r="M21" s="30" t="s">
        <v>42</v>
      </c>
      <c r="N21" s="32" t="s">
        <v>36</v>
      </c>
      <c r="O21" s="29"/>
      <c r="P21" s="29"/>
      <c r="Q21" s="29"/>
      <c r="R21" s="29"/>
      <c r="S21" s="29"/>
      <c r="T21" s="29"/>
      <c r="U21" s="28"/>
      <c r="V21" s="29"/>
      <c r="W21" s="29"/>
      <c r="X21" s="28"/>
      <c r="Y21" s="28"/>
    </row>
    <row r="22" spans="3:27" ht="18" x14ac:dyDescent="0.35">
      <c r="C22" s="30" t="s">
        <v>43</v>
      </c>
      <c r="D22" s="32" t="s">
        <v>44</v>
      </c>
      <c r="E22" s="28"/>
      <c r="F22" s="29"/>
      <c r="G22" s="29"/>
      <c r="H22" s="29"/>
      <c r="I22" s="29"/>
      <c r="M22" s="30" t="s">
        <v>43</v>
      </c>
      <c r="N22" s="32" t="s">
        <v>44</v>
      </c>
      <c r="O22" s="29"/>
      <c r="P22" s="29"/>
      <c r="Q22" s="29"/>
      <c r="R22" s="29"/>
      <c r="S22" s="29"/>
      <c r="T22" s="29"/>
      <c r="U22" s="28"/>
      <c r="V22" s="29"/>
      <c r="W22" s="29"/>
      <c r="X22" s="28"/>
      <c r="Y22" s="28"/>
    </row>
    <row r="23" spans="3:27" ht="18" x14ac:dyDescent="0.35">
      <c r="C23" s="30" t="s">
        <v>45</v>
      </c>
      <c r="D23" s="32" t="s">
        <v>32</v>
      </c>
      <c r="E23" s="28"/>
      <c r="F23" s="29"/>
      <c r="G23" s="29"/>
      <c r="H23" s="29"/>
      <c r="I23" s="29"/>
      <c r="M23" s="30" t="s">
        <v>45</v>
      </c>
      <c r="N23" s="32" t="s">
        <v>32</v>
      </c>
      <c r="O23" s="29"/>
      <c r="P23" s="29"/>
      <c r="Q23" s="29"/>
      <c r="R23" s="29"/>
      <c r="S23" s="29"/>
      <c r="T23" s="29"/>
      <c r="U23" s="28"/>
      <c r="V23" s="29"/>
      <c r="W23" s="29"/>
      <c r="X23" s="28"/>
      <c r="Y23" s="28"/>
    </row>
    <row r="24" spans="3:27" ht="23.4" x14ac:dyDescent="0.45">
      <c r="C24" s="33" t="s">
        <v>46</v>
      </c>
      <c r="D24" s="34"/>
      <c r="E24" s="28"/>
      <c r="F24" s="28"/>
      <c r="G24" s="28"/>
      <c r="H24" s="28"/>
      <c r="I24" s="28"/>
      <c r="M24" s="33" t="s">
        <v>46</v>
      </c>
      <c r="N24" s="34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35"/>
      <c r="AA24" s="35"/>
    </row>
    <row r="25" spans="3:27" ht="18" x14ac:dyDescent="0.35">
      <c r="C25" s="30" t="s">
        <v>47</v>
      </c>
      <c r="D25" s="36" t="s">
        <v>48</v>
      </c>
      <c r="E25" s="37"/>
      <c r="F25" s="37"/>
      <c r="G25" s="37"/>
      <c r="H25" s="37"/>
      <c r="I25" s="37"/>
      <c r="M25" s="30" t="s">
        <v>47</v>
      </c>
      <c r="N25" s="36" t="s">
        <v>48</v>
      </c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</row>
    <row r="26" spans="3:27" ht="18" x14ac:dyDescent="0.35">
      <c r="C26" s="33" t="s">
        <v>49</v>
      </c>
      <c r="D26" s="40" t="s">
        <v>48</v>
      </c>
      <c r="E26" s="28"/>
      <c r="F26" s="28"/>
      <c r="G26" s="28"/>
      <c r="H26" s="28"/>
      <c r="I26" s="28"/>
      <c r="M26" s="33" t="s">
        <v>49</v>
      </c>
      <c r="N26" s="40" t="s">
        <v>48</v>
      </c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</row>
    <row r="30" spans="3:27" ht="23.4" x14ac:dyDescent="0.45">
      <c r="C30" s="64" t="s">
        <v>52</v>
      </c>
      <c r="D30" s="65"/>
      <c r="E30" s="66"/>
      <c r="F30" s="66"/>
      <c r="G30" s="67"/>
    </row>
  </sheetData>
  <mergeCells count="4">
    <mergeCell ref="C12:D12"/>
    <mergeCell ref="E12:I12"/>
    <mergeCell ref="M12:N12"/>
    <mergeCell ref="O12:Y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ACCA8-DFF4-4D51-9090-0CF6A70D22CD}">
  <dimension ref="B3:AG23"/>
  <sheetViews>
    <sheetView zoomScale="70" zoomScaleNormal="70" workbookViewId="0">
      <selection activeCell="E25" sqref="E25"/>
    </sheetView>
  </sheetViews>
  <sheetFormatPr defaultRowHeight="14.4" x14ac:dyDescent="0.3"/>
  <cols>
    <col min="3" max="3" width="13.21875" customWidth="1"/>
    <col min="4" max="4" width="24.6640625" customWidth="1"/>
    <col min="5" max="5" width="29.109375" customWidth="1"/>
    <col min="6" max="6" width="19.44140625" customWidth="1"/>
    <col min="7" max="7" width="13.77734375" customWidth="1"/>
    <col min="8" max="8" width="13.21875" customWidth="1"/>
    <col min="9" max="9" width="13.77734375" customWidth="1"/>
    <col min="10" max="10" width="15.5546875" customWidth="1"/>
    <col min="11" max="11" width="14" customWidth="1"/>
    <col min="12" max="12" width="14.77734375" customWidth="1"/>
    <col min="13" max="13" width="12.6640625" customWidth="1"/>
    <col min="14" max="14" width="12.21875" customWidth="1"/>
    <col min="15" max="15" width="12.33203125" customWidth="1"/>
    <col min="16" max="16" width="13" customWidth="1"/>
    <col min="17" max="17" width="14.88671875" customWidth="1"/>
    <col min="18" max="18" width="14.77734375" customWidth="1"/>
    <col min="19" max="19" width="14.109375" customWidth="1"/>
    <col min="20" max="20" width="14" customWidth="1"/>
    <col min="21" max="22" width="13.77734375" customWidth="1"/>
    <col min="23" max="23" width="13.21875" customWidth="1"/>
    <col min="24" max="24" width="13.6640625" customWidth="1"/>
    <col min="25" max="25" width="15.21875" customWidth="1"/>
    <col min="26" max="26" width="14" customWidth="1"/>
    <col min="27" max="27" width="13.44140625" customWidth="1"/>
    <col min="28" max="28" width="13.77734375" customWidth="1"/>
    <col min="29" max="29" width="12.6640625" customWidth="1"/>
    <col min="30" max="30" width="14.5546875" customWidth="1"/>
    <col min="31" max="31" width="13" customWidth="1"/>
    <col min="32" max="32" width="14.44140625" customWidth="1"/>
  </cols>
  <sheetData>
    <row r="3" spans="2:33" x14ac:dyDescent="0.3">
      <c r="B3" s="12"/>
      <c r="C3" s="13" t="s">
        <v>3</v>
      </c>
    </row>
    <row r="4" spans="2:33" x14ac:dyDescent="0.3">
      <c r="B4" s="18"/>
      <c r="C4" s="13" t="s">
        <v>8</v>
      </c>
    </row>
    <row r="7" spans="2:33" x14ac:dyDescent="0.3">
      <c r="D7" s="41" t="s">
        <v>50</v>
      </c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3"/>
    </row>
    <row r="8" spans="2:33" x14ac:dyDescent="0.3">
      <c r="D8" s="44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6"/>
    </row>
    <row r="9" spans="2:33" x14ac:dyDescent="0.3">
      <c r="D9" s="47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9"/>
    </row>
    <row r="10" spans="2:33" x14ac:dyDescent="0.3">
      <c r="D10" s="50" t="s">
        <v>5</v>
      </c>
      <c r="E10" s="51" t="s">
        <v>9</v>
      </c>
      <c r="F10" s="52" t="s">
        <v>10</v>
      </c>
      <c r="G10" s="52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53" t="s">
        <v>51</v>
      </c>
      <c r="AF10" s="54"/>
    </row>
    <row r="11" spans="2:33" ht="28.8" x14ac:dyDescent="0.55000000000000004">
      <c r="D11" s="55" t="s">
        <v>11</v>
      </c>
      <c r="E11" s="55"/>
      <c r="F11" s="56" t="s">
        <v>12</v>
      </c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</row>
    <row r="12" spans="2:33" ht="23.4" x14ac:dyDescent="0.45">
      <c r="D12" s="57" t="s">
        <v>13</v>
      </c>
      <c r="E12" s="57" t="s">
        <v>14</v>
      </c>
      <c r="F12" s="58">
        <v>24929</v>
      </c>
      <c r="G12" s="58">
        <f>F12+1</f>
        <v>24930</v>
      </c>
      <c r="H12" s="58">
        <f t="shared" ref="H12:Q12" si="0">G12+1</f>
        <v>24931</v>
      </c>
      <c r="I12" s="58">
        <f t="shared" si="0"/>
        <v>24932</v>
      </c>
      <c r="J12" s="58">
        <f t="shared" si="0"/>
        <v>24933</v>
      </c>
      <c r="K12" s="58">
        <f t="shared" si="0"/>
        <v>24934</v>
      </c>
      <c r="L12" s="58">
        <f t="shared" si="0"/>
        <v>24935</v>
      </c>
      <c r="M12" s="58">
        <f t="shared" si="0"/>
        <v>24936</v>
      </c>
      <c r="N12" s="58">
        <f t="shared" si="0"/>
        <v>24937</v>
      </c>
      <c r="O12" s="58">
        <f t="shared" si="0"/>
        <v>24938</v>
      </c>
      <c r="P12" s="58">
        <f t="shared" si="0"/>
        <v>24939</v>
      </c>
      <c r="Q12" s="58">
        <f t="shared" si="0"/>
        <v>24940</v>
      </c>
      <c r="R12" s="58">
        <f>Q12+1</f>
        <v>24941</v>
      </c>
      <c r="S12" s="58">
        <f t="shared" ref="S12:AD12" si="1">R12+1</f>
        <v>24942</v>
      </c>
      <c r="T12" s="58">
        <f t="shared" si="1"/>
        <v>24943</v>
      </c>
      <c r="U12" s="58">
        <f>24947</f>
        <v>24947</v>
      </c>
      <c r="V12" s="58">
        <f>U12+1</f>
        <v>24948</v>
      </c>
      <c r="W12" s="58">
        <f>24950</f>
        <v>24950</v>
      </c>
      <c r="X12" s="58">
        <f t="shared" si="1"/>
        <v>24951</v>
      </c>
      <c r="Y12" s="58">
        <f>24953</f>
        <v>24953</v>
      </c>
      <c r="Z12" s="58">
        <f>24956</f>
        <v>24956</v>
      </c>
      <c r="AA12" s="58">
        <f>24982</f>
        <v>24982</v>
      </c>
      <c r="AB12" s="58">
        <f>24989</f>
        <v>24989</v>
      </c>
      <c r="AC12" s="58">
        <f>24997</f>
        <v>24997</v>
      </c>
      <c r="AD12" s="58">
        <f t="shared" si="1"/>
        <v>24998</v>
      </c>
      <c r="AE12" s="58">
        <f>25016</f>
        <v>25016</v>
      </c>
      <c r="AF12" s="58">
        <f>25475</f>
        <v>25475</v>
      </c>
      <c r="AG12" s="35"/>
    </row>
    <row r="13" spans="2:33" ht="18" x14ac:dyDescent="0.35">
      <c r="D13" s="59" t="s">
        <v>31</v>
      </c>
      <c r="E13" s="60" t="s">
        <v>32</v>
      </c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</row>
    <row r="14" spans="2:33" ht="18" x14ac:dyDescent="0.35">
      <c r="D14" s="59" t="s">
        <v>33</v>
      </c>
      <c r="E14" s="60" t="s">
        <v>34</v>
      </c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</row>
    <row r="15" spans="2:33" ht="18" x14ac:dyDescent="0.35">
      <c r="D15" s="59" t="s">
        <v>43</v>
      </c>
      <c r="E15" s="61" t="s">
        <v>44</v>
      </c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</row>
    <row r="16" spans="2:33" ht="18" x14ac:dyDescent="0.35">
      <c r="D16" s="59" t="s">
        <v>45</v>
      </c>
      <c r="E16" s="61" t="s">
        <v>32</v>
      </c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</row>
    <row r="17" spans="4:32" ht="18" x14ac:dyDescent="0.35">
      <c r="D17" s="59" t="s">
        <v>46</v>
      </c>
      <c r="E17" s="62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</row>
    <row r="18" spans="4:32" ht="18" x14ac:dyDescent="0.35">
      <c r="D18" s="59" t="s">
        <v>47</v>
      </c>
      <c r="E18" s="63" t="s">
        <v>48</v>
      </c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</row>
    <row r="19" spans="4:32" ht="18" x14ac:dyDescent="0.35">
      <c r="D19" s="59" t="s">
        <v>49</v>
      </c>
      <c r="E19" s="63" t="s">
        <v>48</v>
      </c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</row>
    <row r="23" spans="4:32" ht="23.4" x14ac:dyDescent="0.45">
      <c r="D23" s="64" t="s">
        <v>52</v>
      </c>
      <c r="E23" s="66"/>
      <c r="F23" s="67"/>
    </row>
  </sheetData>
  <mergeCells count="3">
    <mergeCell ref="D7:AF9"/>
    <mergeCell ref="D11:E11"/>
    <mergeCell ref="F11:AF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Italian_pilot </vt:lpstr>
      <vt:lpstr>Danish_pilot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KACULI RICHARD</dc:creator>
  <cp:lastModifiedBy>KACULI RICHARD</cp:lastModifiedBy>
  <dcterms:created xsi:type="dcterms:W3CDTF">2025-02-24T14:06:41Z</dcterms:created>
  <dcterms:modified xsi:type="dcterms:W3CDTF">2025-02-24T14:11:36Z</dcterms:modified>
</cp:coreProperties>
</file>